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G:\Projects\Projects\Threemov\"/>
    </mc:Choice>
  </mc:AlternateContent>
  <bookViews>
    <workbookView xWindow="360" yWindow="15" windowWidth="20955" windowHeight="9720"/>
  </bookViews>
  <sheets>
    <sheet name="LOW" sheetId="2" r:id="rId1"/>
    <sheet name="MIDDLE" sheetId="3" r:id="rId2"/>
    <sheet name="HIGH" sheetId="4" r:id="rId3"/>
    <sheet name="Settings" sheetId="5" r:id="rId4"/>
  </sheets>
  <definedNames>
    <definedName name="Список">Settings!$A$2:$A$4</definedName>
    <definedName name="Статус">Settings!$B$2:$B$4</definedName>
  </definedNames>
  <calcPr calcId="162913"/>
</workbook>
</file>

<file path=xl/calcChain.xml><?xml version="1.0" encoding="utf-8"?>
<calcChain xmlns="http://schemas.openxmlformats.org/spreadsheetml/2006/main">
  <c r="K4" i="4" l="1"/>
  <c r="P3" i="4"/>
  <c r="K3" i="4"/>
  <c r="K2" i="4"/>
  <c r="K12" i="3"/>
  <c r="K11" i="3"/>
  <c r="K10" i="3"/>
  <c r="K9" i="3"/>
  <c r="K8" i="3"/>
  <c r="K7" i="3"/>
  <c r="K6" i="3"/>
  <c r="K5" i="3"/>
  <c r="K4" i="3"/>
  <c r="P3" i="3"/>
  <c r="K3" i="3"/>
  <c r="K2" i="3"/>
  <c r="K11" i="2"/>
  <c r="K10" i="2"/>
  <c r="K9" i="2"/>
  <c r="K8" i="2"/>
  <c r="K7" i="2"/>
  <c r="K6" i="2"/>
  <c r="K5" i="2"/>
  <c r="K4" i="2"/>
  <c r="P3" i="2"/>
  <c r="K3" i="2"/>
  <c r="K2" i="2"/>
</calcChain>
</file>

<file path=xl/comments1.xml><?xml version="1.0" encoding="utf-8"?>
<comments xmlns="http://schemas.openxmlformats.org/spreadsheetml/2006/main">
  <authors>
    <author>tc={29F0D897-68FE-5524-9D21-A73C1CBE11A5}</author>
    <author>tc={C5A5D053-CB48-5F60-6CF8-7D1CD096234A}</author>
    <author>tc={510A6F4E-75C4-828B-B554-978641CF450D}</author>
    <author>tc={CE7F167B-1FB5-84E6-C4B2-07BC38C2FA64}</author>
    <author>tc={03EF6C2B-089A-0CC2-9B7D-B28AD1A2A711}</author>
    <author>tc={731499BF-CC32-F954-8F34-556911834B91}</author>
    <author>tc={B109A7AA-0F16-5EB6-662B-C875265155EC}</author>
  </authors>
  <commentList>
    <comment ref="B2" authorId="0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Это лендинг, ранее подразумевался как сайт-продажник, ну или как справочка о продукте, по сути кнопки войти на данный момент быть не должно, т.к. продукт будет пока-что коробочной версией, т.е. нам платят и потом мы даём доступ, но тут кстати также надо будет продумать, но на текущий момент так.
</t>
        </r>
      </text>
    </comment>
    <comment ref="B3" authorId="1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Да, хорошее замечание, действительно не перекидывет никуда, насколько помню - этот сайт сделан  на конструкторе, поэтому нужно будет изменить.
</t>
        </r>
      </text>
    </comment>
    <comment ref="B4" authorId="2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Вообще интересная штука, первый раз вижу, пог всей видимости заглушка для кликабельности
</t>
        </r>
      </text>
    </comment>
    <comment ref="B5" authorId="3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Здесь нужно будет переименовать, вообще зачастую ошибки выводятся без обработчика, здесь нужно также будет добавить
</t>
        </r>
      </text>
    </comment>
    <comment ref="B6" authorId="4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Вобще работать должен, но по всей видимости либо тариф не оплачен, либо что-то с апи не то, там подвязан бот с контсруктора, на котором висит техподдержка
</t>
        </r>
      </text>
    </comment>
    <comment ref="B8" authorId="5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Да, функционал - не готов, там можно любой сейчас тариф поставить, нужно реализовать
</t>
        </r>
      </text>
    </comment>
    <comment ref="B10" authorId="6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Фича будет полезной, также берём на заметку
</t>
        </r>
      </text>
    </comment>
  </commentList>
</comments>
</file>

<file path=xl/comments2.xml><?xml version="1.0" encoding="utf-8"?>
<comments xmlns="http://schemas.openxmlformats.org/spreadsheetml/2006/main">
  <authors>
    <author>tc={C7F4B980-98DD-C4F6-54A2-40A0361B8DBE}</author>
  </authors>
  <commentList>
    <comment ref="B7" authorId="0" shapeId="0">
      <text>
        <r>
          <rPr>
            <b/>
            <sz val="9"/>
            <rFont val="Tahoma"/>
          </rPr>
          <t>КАБП ЛАБ:</t>
        </r>
        <r>
          <rPr>
            <sz val="9"/>
            <rFont val="Tahoma"/>
          </rPr>
          <t xml:space="preserve">
Код генерируется ручками и вносится в кортеж, по сути делается всё в ручном режиме, нужно также продумать возможность генерации кода и какой-либо автоматизации этого дела, была идея создать тг бота, но пока что в чёрном ящике она, скоро возобновим мозговой штурм
</t>
        </r>
      </text>
    </comment>
  </commentList>
</comments>
</file>

<file path=xl/sharedStrings.xml><?xml version="1.0" encoding="utf-8"?>
<sst xmlns="http://schemas.openxmlformats.org/spreadsheetml/2006/main" count="229" uniqueCount="138">
  <si>
    <t>№</t>
  </si>
  <si>
    <t>Примечание</t>
  </si>
  <si>
    <t>Версия релиза</t>
  </si>
  <si>
    <t>Отсутствует кнопка войти</t>
  </si>
  <si>
    <t>https://www.treemov.ru/</t>
  </si>
  <si>
    <t>не работает кнопка отзывов и контактов</t>
  </si>
  <si>
    <t>сообщение о валидации на английском при регистрации на одну и ту же почту</t>
  </si>
  <si>
    <t>Текст ошибки на английском:
User with this Email Address already exists.</t>
  </si>
  <si>
    <t>Текст ошибки на русском:
Пользователь с таким адресом электронной почты уже существует.</t>
  </si>
  <si>
    <t>Исчезает дерево при переходе по вкладкам</t>
  </si>
  <si>
    <t>1. аторизоваться под учеником 
https://treemov.online/signin/
(например: user@treemov.com / Bulochka203)
2. Нажать кнопу посадить:
таймер не запускается, но дерево появляется
3. Перейти на другую вкладку
(например каледарь https://treemov.online/calendar/)
4. вернуться на вкладку с деревом https://treemov.online/profile/student
древо исчезает, при этом не работает кнопка посадить</t>
  </si>
  <si>
    <t>1. https://disk.yandex.ru/i/r-VWEmBUyt7agQ
2. https://disk.yandex.ru/i/HuD7yH8Ec2bd_g
3. https://disk.yandex.ru/i/E4YOAa5RWl1xtw
4. https://disk.yandex.ru/i/cHX9hjzzoytHKA</t>
  </si>
  <si>
    <t>Таймер не запускается,
дерво появляется,
но исчезает при переходе по вкладкам</t>
  </si>
  <si>
    <t>при остуствии роста дерева невозможно протестировать применение инвентаря</t>
  </si>
  <si>
    <t>При покупке любого инвентаря в магазине ученика вылетает HTTP ERROR 400</t>
  </si>
  <si>
    <t>1. аторизоваться под учеником 
https://treemov.online/signin/
(например: user@treemov.com / Bulochka203)
2. перейти в магазин и нажать куить на любом инвентаре
https://treemov.online/shop/
вылетает ошибка HTTP ERROR 400</t>
  </si>
  <si>
    <t>вылетает ошибка HTTP ERROR 400</t>
  </si>
  <si>
    <t>Количество выбранныз предметов в инвентаре увеличено</t>
  </si>
  <si>
    <t>UPD Ошибка появляется только когда значение энергии (валюты) 0 или 1, начиная с двух покупается стабильно</t>
  </si>
  <si>
    <t>не работает кнопка акции в магазине ученика</t>
  </si>
  <si>
    <t>Пропадает кнопка удалить занятия при переходе по датам</t>
  </si>
  <si>
    <t>1. аторизоваться под преподавателем
https://treemov.online/signin/
(например: teacher@treemov.com / Bulochka203)
2. Войти в каледарь https://treemov.online/calendar/
3. Войти во вкладку удаление
4. Выбрать другую дату
крестик для удаления совсем исчезнет
5. если вернуться во вкладку каледарь у вабранной с пункта 4 даты появляется крестик удаления
если выбрать другую дату то опять исчезнет</t>
  </si>
  <si>
    <t>1. https://disk.yandex.ru/i/LPSdubPODqBOKw
2. https://disk.yandex.ru/i/_CwDsubihlnZUg
3. https://disk.yandex.ru/i/HMP9jFOHueRYlg</t>
  </si>
  <si>
    <t>исчезает крестик удаления занятия</t>
  </si>
  <si>
    <t>крестик удаления остается и можно удалить занятие
при возвращение во вкладку календарь крестик удаления не появляется</t>
  </si>
  <si>
    <t>можно создавать занятия на прошедшие даты</t>
  </si>
  <si>
    <t>1. аторизоваться под преподавателем
https://treemov.online/signin/
(например: teacher@treemov.com / Bulochka203)
2. Войти в каледарь https://treemov.online/calendar/
3. Войти во вкладку добавить
4. Выбрать дату раньше текущей и назначить занятие
занятие создалось</t>
  </si>
  <si>
    <t>можно создавать занятия раньше текущей даты</t>
  </si>
  <si>
    <t>нельзя создавать занятия раньше текущей даты</t>
  </si>
  <si>
    <t>хз вдруг по дальнейшей логике с автомонетизаций например преподы это будут обузить и выводить миллионы ничего не делая)</t>
  </si>
  <si>
    <t>можно создавать занятие с началом и окончанием в одно время</t>
  </si>
  <si>
    <t>1. аторизоваться под преподавателем
https://treemov.online/signin/
(например: teacher@treemov.com / Bulochka203)
2. Войти в каледарь https://treemov.online/calendar/
3. Войти во вкладку добавить
4. выбрать время начало занятия, выбрать такое же начало окончания занятия
занятие создалось</t>
  </si>
  <si>
    <t>можно создавать занятия с началом и окончанием в одно время</t>
  </si>
  <si>
    <t>нельзя создавать занятия с началом и окончанием в одно время</t>
  </si>
  <si>
    <t>нельзя же?)</t>
  </si>
  <si>
    <t>можно создать разные занятия на для одной группы и в одно время</t>
  </si>
  <si>
    <t>https://disk.yandex.ru/i/tWgWStIfyA3JLg</t>
  </si>
  <si>
    <t>с другой стороны если бы это была целая школа боевых исскуств …
хоя тогда должны быть разные группы</t>
  </si>
  <si>
    <t>странный формат даты выгрузки отчета</t>
  </si>
  <si>
    <t>https://disk.yandex.ru/i/qVVr_4ay5m9v-g</t>
  </si>
  <si>
    <t>пустой отчет при выгрузке</t>
  </si>
  <si>
    <t>1. аторизоваться под преподавателем
https://treemov.online/signin/
(например: teacher@treemov.com / Bulochka203)
2. Войти в работу с группами https://treemov.online/profile/dashboard_groups
3. Сформировать отчет
пустой отчет</t>
  </si>
  <si>
    <t>1. https://disk.yandex.ru/i/40OFYkUPU_BUQA
2. https://disk.yandex.ru/i/olSiIQE0k2DGaA
3. https://disk.yandex.ru/i/SnL5SAJcj8jSOQ</t>
  </si>
  <si>
    <t>пустой отчет</t>
  </si>
  <si>
    <t>отчет с информацией</t>
  </si>
  <si>
    <t xml:space="preserve">только что в нем должно быть О_о
UPD в данном случае пустой он был потому что в группах небыло учеников, встает скорее организационный вопрос, что должно быть в отчете, сейчас как по мне он выглядит не информативно
https://disk.yandex.ru/i/rDdETuCkzx90Ww
</t>
  </si>
  <si>
    <t>создание аккаунта преподователя без кода</t>
  </si>
  <si>
    <t>если не ввести код препода и тыкнуть создать, то создастся ученик</t>
  </si>
  <si>
    <t>кто дает код?
Нужно протестить зоздание препода</t>
  </si>
  <si>
    <t>не работает крестик для выхода при изменении тарифа</t>
  </si>
  <si>
    <t>https://disk.yandex.ru/i/A4xEovhuNJqtwQ</t>
  </si>
  <si>
    <t>работа с деньгами при изменении тарифа</t>
  </si>
  <si>
    <t>изменение профиля без внесения текста</t>
  </si>
  <si>
    <t>если нажать сохранить изменения в профиле и ничего не ввести то имя фамилия изменится на User name и описание очистится</t>
  </si>
  <si>
    <t>https://disk.yandex.ru/i/MlpeCt1ubXNOOg</t>
  </si>
  <si>
    <t>изменения устанавливаются по дефолту</t>
  </si>
  <si>
    <t>с одной стороны логично, с друго так ли оно должно работать</t>
  </si>
  <si>
    <t>изменение тарифа при нажатии кнопки отмена</t>
  </si>
  <si>
    <t>1. аторизоваться под преподавателем
https://treemov.online/signin/
(например: teacher@treemov.com / Bulochka203)
2. Войти в изменения тарифа
https://treemov.online/profile/offers
3. Выбрать другой тариф
4. Нажать отмена</t>
  </si>
  <si>
    <t>тариф изменяется</t>
  </si>
  <si>
    <t>Бот техподдержки не работает</t>
  </si>
  <si>
    <t>Нет рекомендаций по созданию пароля, дети начинают путаться</t>
  </si>
  <si>
    <t>При нажатии на аватарку, иконка сразу меняется без пожтверждения, вызывает проблемы и недовольства</t>
  </si>
  <si>
    <t>нет формы восстановления пароля</t>
  </si>
  <si>
    <t>Баг</t>
  </si>
  <si>
    <t>Иллюстрация</t>
  </si>
  <si>
    <t>As is (как есть)</t>
  </si>
  <si>
    <t>To be (как должно быть)</t>
  </si>
  <si>
    <t>Ответственный</t>
  </si>
  <si>
    <t>Сценарий возникновения</t>
  </si>
  <si>
    <t>Статус</t>
  </si>
  <si>
    <t>Список</t>
  </si>
  <si>
    <t>Родион</t>
  </si>
  <si>
    <t>Николай</t>
  </si>
  <si>
    <t>Сегодня</t>
  </si>
  <si>
    <t>Крайняя дата (Д.М.Г)</t>
  </si>
  <si>
    <t>Deadline (дни)</t>
  </si>
  <si>
    <t>Не выполнен</t>
  </si>
  <si>
    <t>В процессе</t>
  </si>
  <si>
    <t>Выполнен</t>
  </si>
  <si>
    <t>кнопка TreeMov в левом верхнем углу экрана захардкожена на переход главную страницу гугла</t>
  </si>
  <si>
    <t>у ученика нет возможности изменить пароль</t>
  </si>
  <si>
    <t>Сообщения об ошибках должны быть на языке интерфейса</t>
  </si>
  <si>
    <t>Возможно функционал еще в разработке</t>
  </si>
  <si>
    <t>Похоже, крестик является частью изображения, а не функциональным элементом</t>
  </si>
  <si>
    <t>Необходимо исключить возможность случайного списания средств</t>
  </si>
  <si>
    <t>Возможно, раздел с акциями еще не наполнен</t>
  </si>
  <si>
    <t>Требуется уточнить требования к безопасности для учеников</t>
  </si>
  <si>
    <t>Текущий формат непонятен обычным пользователям</t>
  </si>
  <si>
    <t>Дата должна быть в читаемом формате, например "07.03.2025"</t>
  </si>
  <si>
    <t>Должна быть возможность смены пароля в настройках безопасности</t>
  </si>
  <si>
    <t>Должны показываться текущие акции или сообщение, что акций нет</t>
  </si>
  <si>
    <t xml:space="preserve"> Должна быть интеграция с платежной системой или сообщение, что функционал в разработке</t>
  </si>
  <si>
    <t>Крестик должен закрывать окно без сохранения изменений</t>
  </si>
  <si>
    <t>Бот должен отвечать на вопросы или показывать статус "скоро будет"</t>
  </si>
  <si>
    <t>Логотип должен вести на главную страницу сайта</t>
  </si>
  <si>
    <t>Кнопки должны вести на соответствующие разделы</t>
  </si>
  <si>
    <t>Должна быть кнопка для перехода к авторизации</t>
  </si>
  <si>
    <t>"1. Перейти на страницу входа
2. Нажать на ссылку 'Забыли пароль?'"</t>
  </si>
  <si>
    <t>"1. Авторизоваться
2. Нажать на текущую аватарку для ее изменения
3. Выбрать новое изображение"</t>
  </si>
  <si>
    <t>"1. Перейти на страницу регистрации
2. Начать ввод пароля в соответствующее поле"</t>
  </si>
  <si>
    <t xml:space="preserve"> "1. Перейти на страницу регистрации
2. Выбрать роль преподавателя
3. Не вводить код подтверждения
4. Нажать кнопку создания аккаунта"</t>
  </si>
  <si>
    <t>"1. Авторизоваться под преподавателем
2. Создать занятие для группы в определенное время
3. Попробовать создать еще одно занятие для той же группы на то же время
4. Второе занятие успешно создается"</t>
  </si>
  <si>
    <t>v0.1.0</t>
  </si>
  <si>
    <t>v0.0.5</t>
  </si>
  <si>
    <t>v0.2.0</t>
  </si>
  <si>
    <t>0.1.0</t>
  </si>
  <si>
    <t>Можно создавать несколько занятий для одной группы одновременно</t>
  </si>
  <si>
    <t>Нельзя создавать несколько занятий для одной группы на одно время</t>
  </si>
  <si>
    <t>Функционал восстановления пароля отсутствует</t>
  </si>
  <si>
    <t>Аватарка меняется моментально без подтверждения</t>
  </si>
  <si>
    <t>Отсутствуют подсказки по требованиям к паролю</t>
  </si>
  <si>
    <t>Должна быть рабочая форма восстановления пароля</t>
  </si>
  <si>
    <t>Должен быть этап подтверждения перед изменением аватарки</t>
  </si>
  <si>
    <t>Должны отображаться требования к паролю (минимальная длина, использование символов и т.д.)</t>
  </si>
  <si>
    <t>Особенно важно для детской аудитории, которая может создавать простые пароли</t>
  </si>
  <si>
    <t>Базовый функционал безопасности, необходимый для любого веб-приложения</t>
  </si>
  <si>
    <t>Пользователи могут случайно изменить изображение, что приводит к необходимости повторной загрузки</t>
  </si>
  <si>
    <t>Кнопка отмена должна отменять операцию без применения изменений</t>
  </si>
  <si>
    <t xml:space="preserve"> Тариф не должен изменяться при нажатии отмены</t>
  </si>
  <si>
    <t>Изменения не применяются при пустых полях</t>
  </si>
  <si>
    <t>Должно появляться предупреждение о необходимости ввести код</t>
  </si>
  <si>
    <t>1. Авторизоваться под учеником
2. Попытаться использовать любой предмет инвентаря на дереве
3. Система не позволяет применить предмет, так как дерево не растет или отсутствует</t>
  </si>
  <si>
    <t>1. Перейти на главную страницу https://treemov.online
2. Попытаться найти кнопку для входа в систему</t>
  </si>
  <si>
    <t>1. Перейти на главную страницу https://treemov.online
2. Нажать на кнопки 'Отзывы' или 'Контакты'</t>
  </si>
  <si>
    <t>1. Перейти на страницу регистрации https://treemov.online/signup/#
2. Ввести email, который уже зарегистрирован в системе
3. Нажать 'Зарегистрироваться'</t>
  </si>
  <si>
    <t>1. Авторизоваться на сайте
2. Нажать на иконку чата техподдержки в правом нижнем углу
3. Попробовать отправить сообщение боту</t>
  </si>
  <si>
    <t xml:space="preserve"> 1. Авторизоваться преподавателем
2. Сформировать отчет по группе
3. Посмотреть дату в отчете</t>
  </si>
  <si>
    <t>1. Авторизоваться учеником
2. Перейти в настройки профиля
3. Искать поле для смены пароля</t>
  </si>
  <si>
    <t>1. Авторизоваться учеником
2. Перейти в магазин
3. Нажать на вкладку 'Акции'</t>
  </si>
  <si>
    <t>1. Авторизоваться преподавателем
2. Перейти в раздел смены тарифа
3. Выбрать платный тариф
4. Нажать 'Подтвердить'</t>
  </si>
  <si>
    <t>1. Авторизоваться преподавателем
2. Перейти в раздел смены тарифа
3. Нажать на крестик в углу всплывающего окна</t>
  </si>
  <si>
    <t>Невозможно применить предметы инвентаря к дереву</t>
  </si>
  <si>
    <t>Должна быть возможность применять предметы инвентаря даже на начальных стадиях роста дерева</t>
  </si>
  <si>
    <t>Дерево должно сохраняться при переходах между вкладками, таймер должен корректно запускаться</t>
  </si>
  <si>
    <t>Блокирует тестирование функционала магазина и инвентаря, необходимо предусмотреть демо-режим или начальное состояние дерева</t>
  </si>
  <si>
    <t>ранее говори про таймер, но по буклетику для детей и в фигме про таймер ничего не неашел
а может оно вообще не растет, появляется скорее куст.
Кажется после первого тапа она совсем не работает</t>
  </si>
  <si>
    <t>Михаил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</si>
</sst>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scheme val="minor"/>
    </font>
    <font>
      <b/>
      <sz val="9"/>
      <name val="Tahoma"/>
    </font>
    <font>
      <sz val="9"/>
      <name val="Tahoma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14" fontId="6" fillId="0" borderId="1" xfId="0" applyNumberFormat="1" applyFont="1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wrapText="1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1" applyFont="1" applyBorder="1" applyAlignment="1">
      <alignment vertical="center" wrapText="1"/>
    </xf>
    <xf numFmtId="0" fontId="1" fillId="0" borderId="0" xfId="0" applyFont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 wrapText="1"/>
    </xf>
    <xf numFmtId="0" fontId="3" fillId="0" borderId="1" xfId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Гиперссылка" xfId="1" builtinId="8"/>
    <cellStyle name="Обычный" xfId="0" builtinId="0"/>
  </cellStyles>
  <dxfs count="9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КАБП ЛАБ" id="{A48261D7-684C-E0D9-3986-606B10DBE54B}" userId="2017944808" providerId="Teamlab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qVVr_4ay5m9v-g" TargetMode="External"/><Relationship Id="rId2" Type="http://schemas.openxmlformats.org/officeDocument/2006/relationships/hyperlink" Target="https://disk.yandex.ru/i/A4xEovhuNJqtwQ" TargetMode="External"/><Relationship Id="rId1" Type="http://schemas.openxmlformats.org/officeDocument/2006/relationships/hyperlink" Target="https://www.treemov.ru/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i/tWgWStIfyA3JLg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P21"/>
  <sheetViews>
    <sheetView tabSelected="1" topLeftCell="C1" zoomScale="115" zoomScaleNormal="115" workbookViewId="0">
      <selection activeCell="I6" sqref="I6"/>
    </sheetView>
  </sheetViews>
  <sheetFormatPr defaultRowHeight="15" x14ac:dyDescent="0.25"/>
  <cols>
    <col min="2" max="2" width="12.7109375" customWidth="1"/>
    <col min="3" max="3" width="24.5703125" customWidth="1"/>
    <col min="4" max="4" width="14.85546875" customWidth="1"/>
    <col min="5" max="5" width="15.42578125" customWidth="1"/>
    <col min="6" max="6" width="24.28515625" customWidth="1"/>
    <col min="7" max="7" width="14.28515625" customWidth="1"/>
    <col min="8" max="8" width="17.7109375" customWidth="1"/>
    <col min="9" max="10" width="20.5703125" customWidth="1"/>
    <col min="11" max="11" width="15.85546875" customWidth="1"/>
    <col min="12" max="12" width="13.7109375" customWidth="1"/>
    <col min="16" max="16" width="13.140625" customWidth="1"/>
  </cols>
  <sheetData>
    <row r="1" spans="1:16" x14ac:dyDescent="0.25">
      <c r="A1" s="4" t="s">
        <v>0</v>
      </c>
      <c r="B1" s="4" t="s">
        <v>64</v>
      </c>
      <c r="C1" s="4" t="s">
        <v>69</v>
      </c>
      <c r="D1" s="4" t="s">
        <v>65</v>
      </c>
      <c r="E1" s="4" t="s">
        <v>66</v>
      </c>
      <c r="F1" s="4" t="s">
        <v>67</v>
      </c>
      <c r="G1" s="4" t="s">
        <v>1</v>
      </c>
      <c r="H1" s="4" t="s">
        <v>2</v>
      </c>
      <c r="I1" s="4" t="s">
        <v>68</v>
      </c>
      <c r="J1" s="4" t="s">
        <v>75</v>
      </c>
      <c r="K1" s="4" t="s">
        <v>76</v>
      </c>
      <c r="L1" s="4" t="s">
        <v>70</v>
      </c>
    </row>
    <row r="2" spans="1:16" ht="90" x14ac:dyDescent="0.25">
      <c r="A2" s="7">
        <v>1</v>
      </c>
      <c r="B2" s="3" t="s">
        <v>3</v>
      </c>
      <c r="C2" s="13" t="s">
        <v>123</v>
      </c>
      <c r="D2" s="7"/>
      <c r="E2" s="7"/>
      <c r="F2" s="18" t="s">
        <v>97</v>
      </c>
      <c r="G2" s="3"/>
      <c r="H2" s="20" t="s">
        <v>104</v>
      </c>
      <c r="I2" s="7" t="s">
        <v>73</v>
      </c>
      <c r="J2" s="8">
        <v>45748</v>
      </c>
      <c r="K2" s="9" t="str">
        <f ca="1">IF($L2="Выполнен", "", _xlfn.DAYS($J2, TODAY()))</f>
        <v/>
      </c>
      <c r="L2" s="7" t="s">
        <v>79</v>
      </c>
      <c r="P2" s="5" t="s">
        <v>74</v>
      </c>
    </row>
    <row r="3" spans="1:16" ht="75" x14ac:dyDescent="0.25">
      <c r="A3" s="7">
        <v>2</v>
      </c>
      <c r="B3" s="3" t="s">
        <v>5</v>
      </c>
      <c r="C3" s="14" t="s">
        <v>124</v>
      </c>
      <c r="D3" s="7"/>
      <c r="E3" s="7"/>
      <c r="F3" s="18" t="s">
        <v>96</v>
      </c>
      <c r="G3" s="7"/>
      <c r="H3" s="19" t="s">
        <v>103</v>
      </c>
      <c r="I3" s="7" t="s">
        <v>72</v>
      </c>
      <c r="J3" s="8">
        <v>46167</v>
      </c>
      <c r="K3" s="9" t="str">
        <f ca="1">IF($L3="Выполнен", "", _xlfn.DAYS($J3, TODAY()))</f>
        <v/>
      </c>
      <c r="L3" s="7" t="s">
        <v>79</v>
      </c>
      <c r="P3" s="6">
        <f ca="1">TODAY()</f>
        <v>46041</v>
      </c>
    </row>
    <row r="4" spans="1:16" ht="165" x14ac:dyDescent="0.25">
      <c r="A4" s="7">
        <v>3</v>
      </c>
      <c r="B4" s="16" t="s">
        <v>80</v>
      </c>
      <c r="C4" s="17" t="s">
        <v>4</v>
      </c>
      <c r="D4" s="7"/>
      <c r="E4" s="7"/>
      <c r="F4" s="18" t="s">
        <v>95</v>
      </c>
      <c r="G4" s="7"/>
      <c r="H4" s="19" t="s">
        <v>106</v>
      </c>
      <c r="I4" s="7" t="s">
        <v>137</v>
      </c>
      <c r="J4" s="8">
        <v>46168</v>
      </c>
      <c r="K4" s="9" t="str">
        <f t="shared" ref="K4:K11" ca="1" si="0">IF($L4="Выполнен", "", _xlfn.DAYS($J4, TODAY()))</f>
        <v/>
      </c>
      <c r="L4" s="7" t="s">
        <v>79</v>
      </c>
    </row>
    <row r="5" spans="1:16" ht="135" x14ac:dyDescent="0.25">
      <c r="A5" s="7">
        <v>4</v>
      </c>
      <c r="B5" s="3" t="s">
        <v>6</v>
      </c>
      <c r="C5" s="16" t="s">
        <v>125</v>
      </c>
      <c r="D5" s="7"/>
      <c r="E5" s="3" t="s">
        <v>7</v>
      </c>
      <c r="F5" s="3" t="s">
        <v>8</v>
      </c>
      <c r="G5" s="16" t="s">
        <v>82</v>
      </c>
      <c r="H5" s="19" t="s">
        <v>104</v>
      </c>
      <c r="I5" s="1" t="s">
        <v>137</v>
      </c>
      <c r="J5" s="8">
        <v>45750</v>
      </c>
      <c r="K5" s="9">
        <f t="shared" ca="1" si="0"/>
        <v>-291</v>
      </c>
      <c r="L5" s="7"/>
    </row>
    <row r="6" spans="1:16" ht="120" x14ac:dyDescent="0.25">
      <c r="A6" s="7">
        <v>5</v>
      </c>
      <c r="B6" s="3" t="s">
        <v>60</v>
      </c>
      <c r="C6" s="16" t="s">
        <v>126</v>
      </c>
      <c r="D6" s="7"/>
      <c r="E6" s="7"/>
      <c r="F6" s="18" t="s">
        <v>94</v>
      </c>
      <c r="G6" s="18" t="s">
        <v>83</v>
      </c>
      <c r="H6" s="19" t="s">
        <v>105</v>
      </c>
      <c r="I6" s="1" t="s">
        <v>73</v>
      </c>
      <c r="J6" s="8">
        <v>46170</v>
      </c>
      <c r="K6" s="9">
        <f t="shared" ca="1" si="0"/>
        <v>129</v>
      </c>
      <c r="L6" s="7" t="s">
        <v>78</v>
      </c>
    </row>
    <row r="7" spans="1:16" ht="135" x14ac:dyDescent="0.25">
      <c r="A7" s="7">
        <v>6</v>
      </c>
      <c r="B7" s="3" t="s">
        <v>49</v>
      </c>
      <c r="C7" s="18" t="s">
        <v>131</v>
      </c>
      <c r="D7" s="2" t="s">
        <v>50</v>
      </c>
      <c r="E7" s="7"/>
      <c r="F7" s="18" t="s">
        <v>93</v>
      </c>
      <c r="G7" s="16" t="s">
        <v>84</v>
      </c>
      <c r="H7" s="19" t="s">
        <v>103</v>
      </c>
      <c r="I7" s="1" t="s">
        <v>72</v>
      </c>
      <c r="J7" s="8">
        <v>46171</v>
      </c>
      <c r="K7" s="9">
        <f t="shared" ca="1" si="0"/>
        <v>130</v>
      </c>
      <c r="L7" s="7" t="s">
        <v>77</v>
      </c>
    </row>
    <row r="8" spans="1:16" ht="105" x14ac:dyDescent="0.25">
      <c r="A8" s="7">
        <v>7</v>
      </c>
      <c r="B8" s="3" t="s">
        <v>51</v>
      </c>
      <c r="C8" s="16" t="s">
        <v>130</v>
      </c>
      <c r="D8" s="7"/>
      <c r="E8" s="7"/>
      <c r="F8" s="18" t="s">
        <v>92</v>
      </c>
      <c r="G8" s="16" t="s">
        <v>85</v>
      </c>
      <c r="H8" s="19" t="s">
        <v>103</v>
      </c>
      <c r="I8" s="1" t="s">
        <v>72</v>
      </c>
      <c r="J8" s="8">
        <v>46172</v>
      </c>
      <c r="K8" s="9" t="str">
        <f t="shared" ca="1" si="0"/>
        <v/>
      </c>
      <c r="L8" s="7" t="s">
        <v>79</v>
      </c>
    </row>
    <row r="9" spans="1:16" ht="75" x14ac:dyDescent="0.25">
      <c r="A9" s="7">
        <v>8</v>
      </c>
      <c r="B9" s="3" t="s">
        <v>19</v>
      </c>
      <c r="C9" s="18" t="s">
        <v>129</v>
      </c>
      <c r="D9" s="7"/>
      <c r="E9" s="7"/>
      <c r="F9" s="18" t="s">
        <v>91</v>
      </c>
      <c r="G9" s="16" t="s">
        <v>86</v>
      </c>
      <c r="H9" s="19" t="s">
        <v>104</v>
      </c>
      <c r="I9" s="1" t="s">
        <v>72</v>
      </c>
      <c r="J9" s="8">
        <v>46173</v>
      </c>
      <c r="K9" s="9">
        <f t="shared" ca="1" si="0"/>
        <v>132</v>
      </c>
      <c r="L9" s="7"/>
    </row>
    <row r="10" spans="1:16" ht="90" x14ac:dyDescent="0.25">
      <c r="A10" s="7">
        <v>9</v>
      </c>
      <c r="B10" s="16" t="s">
        <v>81</v>
      </c>
      <c r="C10" s="18" t="s">
        <v>128</v>
      </c>
      <c r="D10" s="7"/>
      <c r="E10" s="7"/>
      <c r="F10" s="18" t="s">
        <v>90</v>
      </c>
      <c r="G10" s="18" t="s">
        <v>87</v>
      </c>
      <c r="H10" s="19" t="s">
        <v>104</v>
      </c>
      <c r="I10" s="1" t="s">
        <v>73</v>
      </c>
      <c r="J10" s="8">
        <v>46174</v>
      </c>
      <c r="K10" s="9">
        <f t="shared" ca="1" si="0"/>
        <v>133</v>
      </c>
      <c r="L10" s="7"/>
    </row>
    <row r="11" spans="1:16" ht="90" x14ac:dyDescent="0.25">
      <c r="A11" s="7">
        <v>10</v>
      </c>
      <c r="B11" s="3" t="s">
        <v>38</v>
      </c>
      <c r="C11" s="18" t="s">
        <v>127</v>
      </c>
      <c r="D11" s="2" t="s">
        <v>39</v>
      </c>
      <c r="E11" s="7"/>
      <c r="F11" s="18" t="s">
        <v>89</v>
      </c>
      <c r="G11" s="18" t="s">
        <v>88</v>
      </c>
      <c r="H11" s="19" t="s">
        <v>103</v>
      </c>
      <c r="I11" s="1" t="s">
        <v>72</v>
      </c>
      <c r="J11" s="8">
        <v>46175</v>
      </c>
      <c r="K11" s="9">
        <f t="shared" ca="1" si="0"/>
        <v>134</v>
      </c>
      <c r="L11" s="7"/>
    </row>
    <row r="12" spans="1:16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1:16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6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1:12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1:12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</row>
  </sheetData>
  <conditionalFormatting sqref="A3:L3">
    <cfRule type="expression" dxfId="95" priority="34" stopIfTrue="1">
      <formula>$K$3&lt;=0</formula>
    </cfRule>
    <cfRule type="expression" dxfId="94" priority="38">
      <formula>$L$3="не выполнен"</formula>
    </cfRule>
    <cfRule type="expression" dxfId="93" priority="39">
      <formula>$L$3="выполнен"</formula>
    </cfRule>
    <cfRule type="expression" dxfId="92" priority="40">
      <formula>$L$3="в процессе"</formula>
    </cfRule>
  </conditionalFormatting>
  <conditionalFormatting sqref="A4:L4">
    <cfRule type="expression" dxfId="91" priority="33" stopIfTrue="1">
      <formula>$K$4&lt;=0</formula>
    </cfRule>
    <cfRule type="expression" dxfId="90" priority="35">
      <formula>$L$4="не выполнен"</formula>
    </cfRule>
    <cfRule type="expression" dxfId="89" priority="36">
      <formula>$L$4="выполнен"</formula>
    </cfRule>
    <cfRule type="expression" dxfId="88" priority="37">
      <formula>$L$4="в процессе"</formula>
    </cfRule>
  </conditionalFormatting>
  <conditionalFormatting sqref="A5:L5">
    <cfRule type="expression" dxfId="87" priority="29">
      <formula>$L$5="выполнен"</formula>
    </cfRule>
    <cfRule type="expression" dxfId="86" priority="30">
      <formula>$L$5="в процессе"</formula>
    </cfRule>
    <cfRule type="expression" dxfId="85" priority="31">
      <formula>$L$5="не выполнен"</formula>
    </cfRule>
    <cfRule type="expression" dxfId="84" priority="32" stopIfTrue="1">
      <formula>$K$5&lt;=0</formula>
    </cfRule>
  </conditionalFormatting>
  <conditionalFormatting sqref="A6:L6">
    <cfRule type="expression" dxfId="83" priority="21" stopIfTrue="1">
      <formula>$K$6&lt;=0</formula>
    </cfRule>
    <cfRule type="expression" dxfId="82" priority="26">
      <formula>$L$6="выполнен"</formula>
    </cfRule>
    <cfRule type="expression" dxfId="81" priority="27">
      <formula>$L$6="в процессе"</formula>
    </cfRule>
    <cfRule type="expression" dxfId="80" priority="28">
      <formula>$L$6="не выполнен"</formula>
    </cfRule>
  </conditionalFormatting>
  <conditionalFormatting sqref="A7:L7">
    <cfRule type="expression" dxfId="79" priority="22" stopIfTrue="1">
      <formula>$K$7&lt;=0</formula>
    </cfRule>
    <cfRule type="expression" dxfId="78" priority="23">
      <formula>$L$7="в процессе"</formula>
    </cfRule>
    <cfRule type="expression" dxfId="77" priority="24">
      <formula>$L$7="выполнен"</formula>
    </cfRule>
    <cfRule type="expression" dxfId="76" priority="25">
      <formula>$L$7="не выполнен"</formula>
    </cfRule>
  </conditionalFormatting>
  <conditionalFormatting sqref="A8:L8">
    <cfRule type="expression" dxfId="75" priority="17" stopIfTrue="1">
      <formula>$K$8&lt;=0</formula>
    </cfRule>
    <cfRule type="expression" dxfId="74" priority="18">
      <formula>$L$8="в процессе"</formula>
    </cfRule>
    <cfRule type="expression" dxfId="73" priority="19">
      <formula>$L$8="выполнен"</formula>
    </cfRule>
    <cfRule type="expression" dxfId="72" priority="20">
      <formula>$L$8="не выполнен"</formula>
    </cfRule>
  </conditionalFormatting>
  <conditionalFormatting sqref="A9:L9">
    <cfRule type="expression" dxfId="71" priority="13" stopIfTrue="1">
      <formula>$K$9&lt;=0</formula>
    </cfRule>
    <cfRule type="expression" dxfId="70" priority="14">
      <formula>$L$9="в процессе"</formula>
    </cfRule>
    <cfRule type="expression" dxfId="69" priority="15">
      <formula>$L$9="выполнен"</formula>
    </cfRule>
    <cfRule type="expression" dxfId="68" priority="16">
      <formula>$L$9="не выполнен"</formula>
    </cfRule>
  </conditionalFormatting>
  <conditionalFormatting sqref="A10:L10">
    <cfRule type="expression" dxfId="67" priority="9">
      <formula>$L$10="в процессе"</formula>
    </cfRule>
    <cfRule type="expression" dxfId="66" priority="10">
      <formula>$L$10="выполнен"</formula>
    </cfRule>
    <cfRule type="expression" dxfId="65" priority="11">
      <formula>$L$10="не выполнен"</formula>
    </cfRule>
    <cfRule type="expression" dxfId="64" priority="12" stopIfTrue="1">
      <formula>$K$10&lt;=0</formula>
    </cfRule>
  </conditionalFormatting>
  <conditionalFormatting sqref="A2:L2">
    <cfRule type="expression" dxfId="63" priority="5" stopIfTrue="1">
      <formula>$K$2&lt;=0</formula>
    </cfRule>
    <cfRule type="expression" dxfId="62" priority="6">
      <formula>$L$2="в процессе"</formula>
    </cfRule>
    <cfRule type="expression" dxfId="61" priority="7">
      <formula>$L$2="выполнен"</formula>
    </cfRule>
    <cfRule type="expression" dxfId="60" priority="8">
      <formula>$L$2="не выполнен"</formula>
    </cfRule>
  </conditionalFormatting>
  <conditionalFormatting sqref="A11:L11">
    <cfRule type="expression" dxfId="59" priority="1" stopIfTrue="1">
      <formula>$K$11&lt;=0</formula>
    </cfRule>
    <cfRule type="expression" dxfId="58" priority="2">
      <formula>$L$11="в процессе"</formula>
    </cfRule>
    <cfRule type="expression" dxfId="57" priority="3">
      <formula>$L$11="выполнен"</formula>
    </cfRule>
    <cfRule type="expression" dxfId="56" priority="4">
      <formula>$L$11="не выполнен"</formula>
    </cfRule>
  </conditionalFormatting>
  <dataValidations count="4">
    <dataValidation type="list" allowBlank="1" showInputMessage="1" showErrorMessage="1" promptTitle="Исполнитель" prompt="Выберите исполнителя " sqref="I2">
      <formula1>Список</formula1>
    </dataValidation>
    <dataValidation type="list" allowBlank="1" showInputMessage="1" showErrorMessage="1" promptTitle="Статус готовности" prompt="Выберите текущее состояние задания" sqref="L2">
      <formula1>Статус</formula1>
    </dataValidation>
    <dataValidation type="list" allowBlank="1" showInputMessage="1" showErrorMessage="1" sqref="I3:I11">
      <formula1>Список</formula1>
    </dataValidation>
    <dataValidation type="list" allowBlank="1" showInputMessage="1" showErrorMessage="1" sqref="L3:L11">
      <formula1>Статус</formula1>
    </dataValidation>
  </dataValidations>
  <hyperlinks>
    <hyperlink ref="C4" r:id="rId1"/>
    <hyperlink ref="D7" r:id="rId2"/>
    <hyperlink ref="D11" r:id="rId3"/>
  </hyperlinks>
  <pageMargins left="0.7" right="0.7" top="0.75" bottom="0.75" header="0.3" footer="0.3"/>
  <pageSetup paperSize="9" orientation="portrait" horizontalDpi="0" verticalDpi="0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12"/>
  <sheetViews>
    <sheetView topLeftCell="D8" zoomScale="85" zoomScaleNormal="85" workbookViewId="0">
      <selection activeCell="I4" sqref="I4"/>
    </sheetView>
  </sheetViews>
  <sheetFormatPr defaultRowHeight="15" x14ac:dyDescent="0.25"/>
  <cols>
    <col min="2" max="2" width="54.7109375" customWidth="1"/>
    <col min="3" max="3" width="82.7109375" customWidth="1"/>
    <col min="4" max="4" width="54.5703125" customWidth="1"/>
    <col min="5" max="5" width="50.7109375" customWidth="1"/>
    <col min="6" max="6" width="67.140625" customWidth="1"/>
    <col min="7" max="7" width="52.42578125" customWidth="1"/>
    <col min="8" max="8" width="16.85546875" customWidth="1"/>
    <col min="9" max="9" width="15.7109375" customWidth="1"/>
    <col min="10" max="10" width="22.7109375" customWidth="1"/>
    <col min="11" max="11" width="13.85546875" customWidth="1"/>
    <col min="12" max="12" width="13.28515625" customWidth="1"/>
    <col min="16" max="16" width="15.28515625" customWidth="1"/>
  </cols>
  <sheetData>
    <row r="1" spans="1:16" x14ac:dyDescent="0.25">
      <c r="A1" s="4" t="s">
        <v>0</v>
      </c>
      <c r="B1" s="4" t="s">
        <v>64</v>
      </c>
      <c r="C1" s="4" t="s">
        <v>69</v>
      </c>
      <c r="D1" s="4" t="s">
        <v>65</v>
      </c>
      <c r="E1" s="4" t="s">
        <v>66</v>
      </c>
      <c r="F1" s="4" t="s">
        <v>67</v>
      </c>
      <c r="G1" s="4" t="s">
        <v>1</v>
      </c>
      <c r="H1" s="4" t="s">
        <v>2</v>
      </c>
      <c r="I1" s="4" t="s">
        <v>68</v>
      </c>
      <c r="J1" s="4" t="s">
        <v>75</v>
      </c>
      <c r="K1" s="4" t="s">
        <v>76</v>
      </c>
      <c r="L1" s="4" t="s">
        <v>70</v>
      </c>
    </row>
    <row r="2" spans="1:16" ht="240" x14ac:dyDescent="0.25">
      <c r="A2" s="10">
        <v>1</v>
      </c>
      <c r="B2" s="10" t="s">
        <v>20</v>
      </c>
      <c r="C2" s="10" t="s">
        <v>21</v>
      </c>
      <c r="D2" s="10" t="s">
        <v>22</v>
      </c>
      <c r="E2" s="10" t="s">
        <v>23</v>
      </c>
      <c r="F2" s="10" t="s">
        <v>24</v>
      </c>
      <c r="G2" s="10"/>
      <c r="H2" s="15" t="s">
        <v>103</v>
      </c>
      <c r="I2" s="7" t="s">
        <v>73</v>
      </c>
      <c r="J2" s="8">
        <v>45761</v>
      </c>
      <c r="K2" s="9">
        <f t="shared" ref="K2:K12" ca="1" si="0">IF($L2="Выполнен", "", _xlfn.DAYS($J2, TODAY()))</f>
        <v>-280</v>
      </c>
      <c r="L2" s="11" t="s">
        <v>78</v>
      </c>
      <c r="P2" s="5" t="s">
        <v>74</v>
      </c>
    </row>
    <row r="3" spans="1:16" ht="180" customHeight="1" x14ac:dyDescent="0.25">
      <c r="A3" s="10">
        <v>2</v>
      </c>
      <c r="B3" s="10" t="s">
        <v>25</v>
      </c>
      <c r="C3" s="10" t="s">
        <v>26</v>
      </c>
      <c r="D3" s="10"/>
      <c r="E3" s="10" t="s">
        <v>27</v>
      </c>
      <c r="F3" s="10" t="s">
        <v>28</v>
      </c>
      <c r="G3" s="10" t="s">
        <v>29</v>
      </c>
      <c r="H3" s="15" t="s">
        <v>104</v>
      </c>
      <c r="I3" s="7" t="s">
        <v>72</v>
      </c>
      <c r="J3" s="8">
        <v>45749</v>
      </c>
      <c r="K3" s="9" t="str">
        <f t="shared" ca="1" si="0"/>
        <v/>
      </c>
      <c r="L3" s="7" t="s">
        <v>79</v>
      </c>
      <c r="P3" s="6">
        <f ca="1">TODAY()</f>
        <v>46041</v>
      </c>
    </row>
    <row r="4" spans="1:16" ht="165" x14ac:dyDescent="0.25">
      <c r="A4" s="10">
        <v>3</v>
      </c>
      <c r="B4" s="10" t="s">
        <v>30</v>
      </c>
      <c r="C4" s="10" t="s">
        <v>31</v>
      </c>
      <c r="D4" s="10"/>
      <c r="E4" s="10" t="s">
        <v>32</v>
      </c>
      <c r="F4" s="10" t="s">
        <v>33</v>
      </c>
      <c r="G4" s="10" t="s">
        <v>34</v>
      </c>
      <c r="H4" s="15" t="s">
        <v>103</v>
      </c>
      <c r="I4" s="7" t="s">
        <v>137</v>
      </c>
      <c r="J4" s="8">
        <v>45750</v>
      </c>
      <c r="K4" s="9">
        <f t="shared" ca="1" si="0"/>
        <v>-291</v>
      </c>
      <c r="L4" s="7" t="s">
        <v>77</v>
      </c>
    </row>
    <row r="5" spans="1:16" ht="52.5" customHeight="1" x14ac:dyDescent="0.25">
      <c r="A5" s="10">
        <v>4</v>
      </c>
      <c r="B5" s="10" t="s">
        <v>35</v>
      </c>
      <c r="C5" s="15" t="s">
        <v>102</v>
      </c>
      <c r="D5" s="10" t="s">
        <v>36</v>
      </c>
      <c r="E5" s="15" t="s">
        <v>107</v>
      </c>
      <c r="F5" s="15" t="s">
        <v>108</v>
      </c>
      <c r="G5" s="10" t="s">
        <v>37</v>
      </c>
      <c r="H5" s="15" t="s">
        <v>103</v>
      </c>
      <c r="I5" s="7" t="s">
        <v>137</v>
      </c>
      <c r="J5" s="8">
        <v>45751</v>
      </c>
      <c r="K5" s="9">
        <f t="shared" ca="1" si="0"/>
        <v>-290</v>
      </c>
      <c r="L5" s="7" t="s">
        <v>78</v>
      </c>
    </row>
    <row r="6" spans="1:16" ht="150" x14ac:dyDescent="0.25">
      <c r="A6" s="10">
        <v>5</v>
      </c>
      <c r="B6" s="10" t="s">
        <v>40</v>
      </c>
      <c r="C6" s="10" t="s">
        <v>41</v>
      </c>
      <c r="D6" s="10" t="s">
        <v>42</v>
      </c>
      <c r="E6" s="10" t="s">
        <v>43</v>
      </c>
      <c r="F6" s="10" t="s">
        <v>44</v>
      </c>
      <c r="G6" s="10" t="s">
        <v>45</v>
      </c>
      <c r="H6" s="15" t="s">
        <v>104</v>
      </c>
      <c r="I6" s="7" t="s">
        <v>137</v>
      </c>
      <c r="J6" s="8">
        <v>45753</v>
      </c>
      <c r="K6" s="9" t="str">
        <f t="shared" ca="1" si="0"/>
        <v/>
      </c>
      <c r="L6" s="7" t="s">
        <v>79</v>
      </c>
    </row>
    <row r="7" spans="1:16" ht="152.25" customHeight="1" x14ac:dyDescent="0.25">
      <c r="A7" s="10">
        <v>6</v>
      </c>
      <c r="B7" s="10" t="s">
        <v>46</v>
      </c>
      <c r="C7" s="15" t="s">
        <v>101</v>
      </c>
      <c r="D7" s="10"/>
      <c r="E7" s="10" t="s">
        <v>47</v>
      </c>
      <c r="F7" s="15" t="s">
        <v>121</v>
      </c>
      <c r="G7" s="10" t="s">
        <v>48</v>
      </c>
      <c r="H7" s="15" t="s">
        <v>105</v>
      </c>
      <c r="I7" s="7" t="s">
        <v>72</v>
      </c>
      <c r="J7" s="8">
        <v>45754</v>
      </c>
      <c r="K7" s="9">
        <f t="shared" ca="1" si="0"/>
        <v>-287</v>
      </c>
      <c r="L7" s="7" t="s">
        <v>78</v>
      </c>
    </row>
    <row r="8" spans="1:16" ht="30" x14ac:dyDescent="0.25">
      <c r="A8" s="10">
        <v>7</v>
      </c>
      <c r="B8" s="10" t="s">
        <v>52</v>
      </c>
      <c r="C8" s="10" t="s">
        <v>53</v>
      </c>
      <c r="D8" s="10" t="s">
        <v>54</v>
      </c>
      <c r="E8" s="10" t="s">
        <v>55</v>
      </c>
      <c r="F8" s="15" t="s">
        <v>120</v>
      </c>
      <c r="G8" s="10" t="s">
        <v>56</v>
      </c>
      <c r="H8" s="15" t="s">
        <v>103</v>
      </c>
      <c r="I8" s="7" t="s">
        <v>73</v>
      </c>
      <c r="J8" s="8">
        <v>45767</v>
      </c>
      <c r="K8" s="9">
        <f t="shared" ca="1" si="0"/>
        <v>-274</v>
      </c>
      <c r="L8" s="7" t="s">
        <v>78</v>
      </c>
    </row>
    <row r="9" spans="1:16" ht="150" x14ac:dyDescent="0.25">
      <c r="A9" s="10">
        <v>8</v>
      </c>
      <c r="B9" s="10" t="s">
        <v>57</v>
      </c>
      <c r="C9" s="10" t="s">
        <v>58</v>
      </c>
      <c r="D9" s="10"/>
      <c r="E9" s="10" t="s">
        <v>59</v>
      </c>
      <c r="F9" s="15" t="s">
        <v>119</v>
      </c>
      <c r="G9" s="15" t="s">
        <v>118</v>
      </c>
      <c r="H9" s="15" t="s">
        <v>103</v>
      </c>
      <c r="I9" s="7" t="s">
        <v>137</v>
      </c>
      <c r="J9" s="8">
        <v>45756</v>
      </c>
      <c r="K9" s="9">
        <f t="shared" ca="1" si="0"/>
        <v>-285</v>
      </c>
      <c r="L9" s="7" t="s">
        <v>77</v>
      </c>
    </row>
    <row r="10" spans="1:16" ht="30" x14ac:dyDescent="0.25">
      <c r="A10" s="10">
        <v>9</v>
      </c>
      <c r="B10" s="10" t="s">
        <v>61</v>
      </c>
      <c r="C10" s="15" t="s">
        <v>100</v>
      </c>
      <c r="D10" s="10"/>
      <c r="E10" s="15" t="s">
        <v>111</v>
      </c>
      <c r="F10" s="15" t="s">
        <v>114</v>
      </c>
      <c r="G10" s="15" t="s">
        <v>115</v>
      </c>
      <c r="H10" s="15" t="s">
        <v>104</v>
      </c>
      <c r="I10" s="7" t="s">
        <v>73</v>
      </c>
      <c r="J10" s="8">
        <v>45763</v>
      </c>
      <c r="K10" s="9" t="str">
        <f t="shared" ca="1" si="0"/>
        <v/>
      </c>
      <c r="L10" s="7" t="s">
        <v>79</v>
      </c>
    </row>
    <row r="11" spans="1:16" ht="45" x14ac:dyDescent="0.25">
      <c r="A11" s="10">
        <v>10</v>
      </c>
      <c r="B11" s="10" t="s">
        <v>62</v>
      </c>
      <c r="C11" s="15" t="s">
        <v>99</v>
      </c>
      <c r="D11" s="10"/>
      <c r="E11" s="15" t="s">
        <v>110</v>
      </c>
      <c r="F11" s="15" t="s">
        <v>113</v>
      </c>
      <c r="G11" s="15" t="s">
        <v>117</v>
      </c>
      <c r="H11" s="15" t="s">
        <v>104</v>
      </c>
      <c r="I11" s="7" t="s">
        <v>72</v>
      </c>
      <c r="J11" s="8">
        <v>45758</v>
      </c>
      <c r="K11" s="9" t="str">
        <f t="shared" ca="1" si="0"/>
        <v/>
      </c>
      <c r="L11" s="7" t="s">
        <v>79</v>
      </c>
    </row>
    <row r="12" spans="1:16" ht="30" x14ac:dyDescent="0.25">
      <c r="A12" s="10">
        <v>11</v>
      </c>
      <c r="B12" s="10" t="s">
        <v>63</v>
      </c>
      <c r="C12" s="15" t="s">
        <v>98</v>
      </c>
      <c r="D12" s="10"/>
      <c r="E12" s="15" t="s">
        <v>109</v>
      </c>
      <c r="F12" s="15" t="s">
        <v>112</v>
      </c>
      <c r="G12" s="15" t="s">
        <v>116</v>
      </c>
      <c r="H12" s="15" t="s">
        <v>103</v>
      </c>
      <c r="I12" s="7" t="s">
        <v>137</v>
      </c>
      <c r="J12" s="8">
        <v>45761</v>
      </c>
      <c r="K12" s="9" t="str">
        <f t="shared" ca="1" si="0"/>
        <v/>
      </c>
      <c r="L12" s="11" t="s">
        <v>79</v>
      </c>
    </row>
  </sheetData>
  <conditionalFormatting sqref="A3:L3">
    <cfRule type="expression" dxfId="55" priority="37" stopIfTrue="1">
      <formula>$K$3&lt;=0</formula>
    </cfRule>
    <cfRule type="expression" dxfId="54" priority="38">
      <formula>$L$3="не выполнен"</formula>
    </cfRule>
    <cfRule type="expression" dxfId="53" priority="39">
      <formula>$L$3="выполнен"</formula>
    </cfRule>
    <cfRule type="expression" dxfId="52" priority="40">
      <formula>$L$3="в процессе"</formula>
    </cfRule>
  </conditionalFormatting>
  <conditionalFormatting sqref="A4:L4">
    <cfRule type="expression" dxfId="51" priority="33" stopIfTrue="1">
      <formula>$K$4&lt;=0</formula>
    </cfRule>
    <cfRule type="expression" dxfId="50" priority="34">
      <formula>$L$4="не выполнен"</formula>
    </cfRule>
    <cfRule type="expression" dxfId="49" priority="35">
      <formula>$L$4="выполнен"</formula>
    </cfRule>
    <cfRule type="expression" dxfId="48" priority="36">
      <formula>$L$4="в процессе"</formula>
    </cfRule>
  </conditionalFormatting>
  <conditionalFormatting sqref="A5:L5">
    <cfRule type="expression" dxfId="47" priority="29" stopIfTrue="1">
      <formula>$K$5&lt;=0</formula>
    </cfRule>
    <cfRule type="expression" dxfId="46" priority="30">
      <formula>$L$5="не выполнен"</formula>
    </cfRule>
    <cfRule type="expression" dxfId="45" priority="31">
      <formula>$L$5="выполнен"</formula>
    </cfRule>
    <cfRule type="expression" dxfId="44" priority="32">
      <formula>$L$5="в процессе"</formula>
    </cfRule>
  </conditionalFormatting>
  <conditionalFormatting sqref="A6:L6">
    <cfRule type="expression" dxfId="43" priority="25" stopIfTrue="1">
      <formula>$K$6&lt;=0</formula>
    </cfRule>
    <cfRule type="expression" dxfId="42" priority="26">
      <formula>$L$6="в процессе"</formula>
    </cfRule>
    <cfRule type="expression" dxfId="41" priority="27">
      <formula>$L$6="не выполнен"</formula>
    </cfRule>
    <cfRule type="expression" dxfId="40" priority="28">
      <formula>$L$6="выполнен"</formula>
    </cfRule>
  </conditionalFormatting>
  <conditionalFormatting sqref="A7:L7">
    <cfRule type="expression" dxfId="39" priority="21" stopIfTrue="1">
      <formula>$K$7&lt;=0</formula>
    </cfRule>
    <cfRule type="expression" dxfId="38" priority="22">
      <formula>$L$7="не выполнен"</formula>
    </cfRule>
    <cfRule type="expression" dxfId="37" priority="23">
      <formula>$L$7="в процессе"</formula>
    </cfRule>
    <cfRule type="expression" dxfId="36" priority="24">
      <formula>$L$7="выполнен"</formula>
    </cfRule>
  </conditionalFormatting>
  <conditionalFormatting sqref="A8:L8">
    <cfRule type="expression" dxfId="35" priority="17" stopIfTrue="1">
      <formula>$K$8&lt;=0</formula>
    </cfRule>
    <cfRule type="expression" dxfId="34" priority="18">
      <formula>$L$8="в процессе"</formula>
    </cfRule>
    <cfRule type="expression" dxfId="33" priority="19">
      <formula>$L$8="выполнен"</formula>
    </cfRule>
    <cfRule type="expression" dxfId="32" priority="20">
      <formula>$L$8="не выполнен"</formula>
    </cfRule>
  </conditionalFormatting>
  <conditionalFormatting sqref="A9:L9">
    <cfRule type="expression" dxfId="31" priority="13" stopIfTrue="1">
      <formula>$K$9&lt;=0</formula>
    </cfRule>
    <cfRule type="expression" dxfId="30" priority="14">
      <formula>$L$9="Выполнен"</formula>
    </cfRule>
    <cfRule type="expression" dxfId="29" priority="15">
      <formula>$L$9="не выполнен"</formula>
    </cfRule>
    <cfRule type="expression" dxfId="28" priority="16">
      <formula>$L$9="В процессе"</formula>
    </cfRule>
  </conditionalFormatting>
  <conditionalFormatting sqref="A10:L10">
    <cfRule type="expression" dxfId="27" priority="9">
      <formula>$L$10="не выполнен"</formula>
    </cfRule>
    <cfRule type="expression" dxfId="26" priority="10">
      <formula>$L$10="Выполнен"</formula>
    </cfRule>
    <cfRule type="expression" dxfId="25" priority="11">
      <formula>$L$10="В процессе"</formula>
    </cfRule>
    <cfRule type="expression" dxfId="24" priority="12" stopIfTrue="1">
      <formula>$K$10&lt;=0</formula>
    </cfRule>
  </conditionalFormatting>
  <conditionalFormatting sqref="A11:L11">
    <cfRule type="expression" dxfId="23" priority="5" stopIfTrue="1">
      <formula>$K$11&lt;=0</formula>
    </cfRule>
    <cfRule type="expression" dxfId="22" priority="6">
      <formula>$L$11="Выполнен"</formula>
    </cfRule>
    <cfRule type="expression" dxfId="21" priority="7">
      <formula>$L$11="не выполнен"</formula>
    </cfRule>
    <cfRule type="expression" dxfId="20" priority="8">
      <formula>$L$11="В процессе"</formula>
    </cfRule>
  </conditionalFormatting>
  <conditionalFormatting sqref="A12:L12">
    <cfRule type="expression" dxfId="19" priority="1" stopIfTrue="1">
      <formula>$K$12&lt;=0</formula>
    </cfRule>
    <cfRule type="expression" dxfId="18" priority="2">
      <formula>$L$12="не выполнен"</formula>
    </cfRule>
    <cfRule type="expression" dxfId="17" priority="3">
      <formula>$L$12="выполнен"</formula>
    </cfRule>
    <cfRule type="expression" dxfId="16" priority="4">
      <formula>$L$12="В процессе"</formula>
    </cfRule>
  </conditionalFormatting>
  <conditionalFormatting sqref="A2:L12">
    <cfRule type="expression" dxfId="15" priority="41" stopIfTrue="1">
      <formula>$K$2&lt;=0</formula>
    </cfRule>
    <cfRule type="expression" dxfId="14" priority="42">
      <formula>$L$2="В процессе"</formula>
    </cfRule>
    <cfRule type="expression" dxfId="13" priority="43">
      <formula>$L$2="выполнен"</formula>
    </cfRule>
    <cfRule type="expression" dxfId="12" priority="44">
      <formula>$L$2="не выполнен"</formula>
    </cfRule>
  </conditionalFormatting>
  <dataValidations count="2">
    <dataValidation type="list" allowBlank="1" showInputMessage="1" showErrorMessage="1" promptTitle="Статус готовности" prompt="Выберите текущее состояние задания" sqref="L2:L12">
      <formula1>Статус</formula1>
    </dataValidation>
    <dataValidation type="list" allowBlank="1" showInputMessage="1" showErrorMessage="1" promptTitle="Исполнитель" prompt="Выберите исполнителя " sqref="I2:I12">
      <formula1>Список</formula1>
    </dataValidation>
  </dataValidations>
  <hyperlinks>
    <hyperlink ref="D5" r:id="rId1"/>
  </hyperlinks>
  <pageMargins left="0.7" right="0.7" top="0.75" bottom="0.75" header="0.3" footer="0.3"/>
  <pageSetup paperSize="9" orientation="portrait" horizontalDpi="0" verticalDpi="0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P4"/>
  <sheetViews>
    <sheetView zoomScale="70" zoomScaleNormal="70" workbookViewId="0">
      <selection activeCell="I3" sqref="I3"/>
    </sheetView>
  </sheetViews>
  <sheetFormatPr defaultRowHeight="15" x14ac:dyDescent="0.25"/>
  <cols>
    <col min="2" max="2" width="26.85546875" customWidth="1"/>
    <col min="3" max="3" width="32" customWidth="1"/>
    <col min="4" max="4" width="25.42578125" customWidth="1"/>
    <col min="5" max="5" width="36.5703125" customWidth="1"/>
    <col min="6" max="6" width="32.7109375" customWidth="1"/>
    <col min="7" max="7" width="32.5703125" customWidth="1"/>
    <col min="8" max="8" width="29" customWidth="1"/>
    <col min="9" max="9" width="31.42578125" customWidth="1"/>
    <col min="10" max="10" width="32.140625" customWidth="1"/>
    <col min="11" max="11" width="22.42578125" customWidth="1"/>
    <col min="12" max="12" width="21.28515625" customWidth="1"/>
    <col min="16" max="16" width="13.85546875" customWidth="1"/>
  </cols>
  <sheetData>
    <row r="1" spans="1:16" x14ac:dyDescent="0.25">
      <c r="A1" s="4" t="s">
        <v>0</v>
      </c>
      <c r="B1" s="4" t="s">
        <v>64</v>
      </c>
      <c r="C1" s="4" t="s">
        <v>69</v>
      </c>
      <c r="D1" s="4" t="s">
        <v>65</v>
      </c>
      <c r="E1" s="4" t="s">
        <v>66</v>
      </c>
      <c r="F1" s="4" t="s">
        <v>67</v>
      </c>
      <c r="G1" s="4" t="s">
        <v>1</v>
      </c>
      <c r="H1" s="4" t="s">
        <v>2</v>
      </c>
      <c r="I1" s="4" t="s">
        <v>68</v>
      </c>
      <c r="J1" s="4" t="s">
        <v>75</v>
      </c>
      <c r="K1" s="4" t="s">
        <v>76</v>
      </c>
      <c r="L1" s="4" t="s">
        <v>70</v>
      </c>
    </row>
    <row r="2" spans="1:16" ht="315" x14ac:dyDescent="0.25">
      <c r="A2" s="12">
        <v>1</v>
      </c>
      <c r="B2" s="10" t="s">
        <v>9</v>
      </c>
      <c r="C2" s="10" t="s">
        <v>10</v>
      </c>
      <c r="D2" s="15" t="s">
        <v>11</v>
      </c>
      <c r="E2" s="10" t="s">
        <v>12</v>
      </c>
      <c r="F2" s="15" t="s">
        <v>134</v>
      </c>
      <c r="G2" s="15" t="s">
        <v>136</v>
      </c>
      <c r="H2" s="15" t="s">
        <v>103</v>
      </c>
      <c r="I2" s="7" t="s">
        <v>73</v>
      </c>
      <c r="J2" s="8">
        <v>45761</v>
      </c>
      <c r="K2" s="9" t="str">
        <f ca="1">IF($L2="Выполнен", "", _xlfn.DAYS($J2, TODAY()))</f>
        <v/>
      </c>
      <c r="L2" s="11" t="s">
        <v>79</v>
      </c>
      <c r="P2" s="5" t="s">
        <v>74</v>
      </c>
    </row>
    <row r="3" spans="1:16" ht="120" x14ac:dyDescent="0.25">
      <c r="A3" s="12">
        <v>2</v>
      </c>
      <c r="B3" s="10" t="s">
        <v>13</v>
      </c>
      <c r="C3" s="15" t="s">
        <v>122</v>
      </c>
      <c r="D3" s="10"/>
      <c r="E3" s="15" t="s">
        <v>132</v>
      </c>
      <c r="F3" s="15" t="s">
        <v>133</v>
      </c>
      <c r="G3" s="15" t="s">
        <v>135</v>
      </c>
      <c r="H3" s="15" t="s">
        <v>103</v>
      </c>
      <c r="I3" s="7" t="s">
        <v>72</v>
      </c>
      <c r="J3" s="8">
        <v>45762</v>
      </c>
      <c r="K3" s="9">
        <f ca="1">IF($L3="Выполнен", "", _xlfn.DAYS($J3, TODAY()))</f>
        <v>-279</v>
      </c>
      <c r="L3" s="11" t="s">
        <v>78</v>
      </c>
      <c r="P3" s="6">
        <f ca="1">TODAY()</f>
        <v>46041</v>
      </c>
    </row>
    <row r="4" spans="1:16" ht="165" x14ac:dyDescent="0.25">
      <c r="A4" s="12">
        <v>3</v>
      </c>
      <c r="B4" s="10" t="s">
        <v>14</v>
      </c>
      <c r="C4" s="15" t="s">
        <v>15</v>
      </c>
      <c r="D4" s="10"/>
      <c r="E4" s="10" t="s">
        <v>16</v>
      </c>
      <c r="F4" s="10" t="s">
        <v>17</v>
      </c>
      <c r="G4" s="10" t="s">
        <v>18</v>
      </c>
      <c r="H4" s="15" t="s">
        <v>103</v>
      </c>
      <c r="I4" s="7" t="s">
        <v>73</v>
      </c>
      <c r="J4" s="8">
        <v>45763</v>
      </c>
      <c r="K4" s="9">
        <f ca="1">IF($L4="Выполнен", "", _xlfn.DAYS($J4, TODAY()))</f>
        <v>-278</v>
      </c>
      <c r="L4" s="11" t="s">
        <v>77</v>
      </c>
    </row>
  </sheetData>
  <conditionalFormatting sqref="A2:L2">
    <cfRule type="expression" dxfId="11" priority="9" stopIfTrue="1">
      <formula>$K$2&lt;=0</formula>
    </cfRule>
    <cfRule type="expression" dxfId="10" priority="10">
      <formula>$L$2="В процессе"</formula>
    </cfRule>
    <cfRule type="expression" dxfId="9" priority="11">
      <formula>$L$2="выполнен"</formula>
    </cfRule>
    <cfRule type="expression" dxfId="8" priority="12">
      <formula>$L$2="не выполнен"</formula>
    </cfRule>
  </conditionalFormatting>
  <conditionalFormatting sqref="A3:L3">
    <cfRule type="expression" dxfId="7" priority="5" stopIfTrue="1">
      <formula>$K$3&lt;=0</formula>
    </cfRule>
    <cfRule type="expression" dxfId="6" priority="6">
      <formula>$L$3="в процессе"</formula>
    </cfRule>
    <cfRule type="expression" dxfId="5" priority="7">
      <formula>$L$3="не выполнен"</formula>
    </cfRule>
    <cfRule type="expression" dxfId="4" priority="8">
      <formula>$L$3="выполнен"</formula>
    </cfRule>
  </conditionalFormatting>
  <conditionalFormatting sqref="A4:L4">
    <cfRule type="expression" dxfId="3" priority="1" stopIfTrue="1">
      <formula>$K$4&lt;=0</formula>
    </cfRule>
    <cfRule type="expression" dxfId="2" priority="2">
      <formula>$L$4="в процессе"</formula>
    </cfRule>
    <cfRule type="expression" dxfId="1" priority="3">
      <formula>$L$4="не выполнен"</formula>
    </cfRule>
    <cfRule type="expression" dxfId="0" priority="4">
      <formula>$L$4="выполнен"</formula>
    </cfRule>
  </conditionalFormatting>
  <dataValidations count="2">
    <dataValidation type="list" allowBlank="1" showInputMessage="1" showErrorMessage="1" promptTitle="Исполнитель" prompt="Выберите исполнителя " sqref="I2:I4">
      <formula1>Список</formula1>
    </dataValidation>
    <dataValidation type="list" allowBlank="1" showInputMessage="1" showErrorMessage="1" promptTitle="Статус готовности" prompt="Выберите текущее состояние задания" sqref="L2:L4">
      <formula1>Статус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4"/>
  <sheetViews>
    <sheetView workbookViewId="0">
      <selection activeCell="G8" sqref="G8"/>
    </sheetView>
  </sheetViews>
  <sheetFormatPr defaultRowHeight="15" x14ac:dyDescent="0.25"/>
  <cols>
    <col min="2" max="2" width="13.28515625" customWidth="1"/>
  </cols>
  <sheetData>
    <row r="1" spans="1:2" x14ac:dyDescent="0.25">
      <c r="A1" t="s">
        <v>71</v>
      </c>
      <c r="B1" t="s">
        <v>70</v>
      </c>
    </row>
    <row r="2" spans="1:2" x14ac:dyDescent="0.25">
      <c r="A2" t="s">
        <v>72</v>
      </c>
      <c r="B2" t="s">
        <v>77</v>
      </c>
    </row>
    <row r="3" spans="1:2" x14ac:dyDescent="0.25">
      <c r="A3" t="s">
        <v>73</v>
      </c>
      <c r="B3" t="s">
        <v>78</v>
      </c>
    </row>
    <row r="4" spans="1:2" x14ac:dyDescent="0.25">
      <c r="A4" t="s">
        <v>137</v>
      </c>
      <c r="B4" t="s">
        <v>79</v>
      </c>
    </row>
  </sheetData>
  <dataValidations count="1">
    <dataValidation type="list" allowBlank="1" showInputMessage="1" showErrorMessage="1" promptTitle="Исполнитель" prompt="Выберите исполнителя " sqref="A2:A4">
      <formula1>Список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LOW</vt:lpstr>
      <vt:lpstr>MIDDLE</vt:lpstr>
      <vt:lpstr>HIGH</vt:lpstr>
      <vt:lpstr>Settings</vt:lpstr>
      <vt:lpstr>Список</vt:lpstr>
      <vt:lpstr>Статус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cp:revision>3</cp:revision>
  <dcterms:created xsi:type="dcterms:W3CDTF">2015-06-05T18:19:34Z</dcterms:created>
  <dcterms:modified xsi:type="dcterms:W3CDTF">2026-01-19T15:41:44Z</dcterms:modified>
</cp:coreProperties>
</file>